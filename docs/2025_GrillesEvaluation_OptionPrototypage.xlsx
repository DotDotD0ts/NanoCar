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sifr-my.sharepoint.com/personal/jniget_cesi_fr/Documents/CONCEPTION/Option Prototypage/"/>
    </mc:Choice>
  </mc:AlternateContent>
  <xr:revisionPtr revIDLastSave="240" documentId="8_{6630302B-1B38-445A-BD0E-EEF70EE1624D}" xr6:coauthVersionLast="47" xr6:coauthVersionMax="47" xr10:uidLastSave="{E89BEB5E-A906-4B88-8078-29C76D86CA96}"/>
  <bookViews>
    <workbookView xWindow="-120" yWindow="-120" windowWidth="29040" windowHeight="15840" activeTab="2" xr2:uid="{B020439E-2E60-4769-8E5A-B458E381C563}"/>
  </bookViews>
  <sheets>
    <sheet name="Soutenance et Prototype" sheetId="1" r:id="rId1"/>
    <sheet name="Rapport" sheetId="6" r:id="rId2"/>
    <sheet name="Implication" sheetId="7" r:id="rId3"/>
    <sheet name="Synthèse Scholari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G11" i="7" s="1"/>
  <c r="H7" i="7"/>
  <c r="H8" i="7"/>
  <c r="H9" i="7"/>
  <c r="H10" i="7"/>
  <c r="H6" i="7"/>
  <c r="H12" i="6"/>
  <c r="H11" i="6"/>
  <c r="H10" i="6"/>
  <c r="H9" i="6"/>
  <c r="H8" i="6"/>
  <c r="H7" i="6"/>
  <c r="H6" i="6"/>
  <c r="G15" i="1"/>
  <c r="G16" i="1"/>
  <c r="B2" i="8"/>
  <c r="B2" i="7"/>
  <c r="B2" i="6"/>
  <c r="F11" i="7"/>
  <c r="F13" i="6"/>
  <c r="F15" i="1"/>
  <c r="H7" i="1"/>
  <c r="H8" i="1"/>
  <c r="H9" i="1"/>
  <c r="H10" i="1"/>
  <c r="H11" i="1"/>
  <c r="H12" i="1"/>
  <c r="H13" i="1"/>
  <c r="H14" i="1"/>
  <c r="H6" i="1"/>
  <c r="H15" i="1" l="1"/>
  <c r="B7" i="8" l="1"/>
  <c r="H13" i="6"/>
  <c r="G13" i="6" s="1"/>
  <c r="G14" i="6" s="1"/>
  <c r="B6" i="8" s="1"/>
  <c r="G12" i="7"/>
  <c r="B8" i="8" s="1"/>
</calcChain>
</file>

<file path=xl/sharedStrings.xml><?xml version="1.0" encoding="utf-8"?>
<sst xmlns="http://schemas.openxmlformats.org/spreadsheetml/2006/main" count="152" uniqueCount="123">
  <si>
    <t>Critères</t>
  </si>
  <si>
    <t>Score</t>
  </si>
  <si>
    <t>5 pts</t>
  </si>
  <si>
    <t>4 pts</t>
  </si>
  <si>
    <t>2 pts</t>
  </si>
  <si>
    <t>1 pt</t>
  </si>
  <si>
    <t>Evaluateurs :</t>
  </si>
  <si>
    <t>NOM - Prénom :</t>
  </si>
  <si>
    <t>Qualité du prototype</t>
  </si>
  <si>
    <t>Le prototype est fonctionnel dans son ensemble</t>
  </si>
  <si>
    <t>Le prototype est non fonctionnel</t>
  </si>
  <si>
    <t>Il n'y a pas de prototype</t>
  </si>
  <si>
    <t>Démarche d’ingénierie</t>
  </si>
  <si>
    <t>Identification des contraintes, validation technique, choix technologiques justifiés.
Tests, ajustements, retour sur expérience, résolution de problèmes.</t>
  </si>
  <si>
    <t>Pas de démarche</t>
  </si>
  <si>
    <t>Démarche simple</t>
  </si>
  <si>
    <t>Des écarts mineurs</t>
  </si>
  <si>
    <t xml:space="preserve">Présentation </t>
  </si>
  <si>
    <t>Modélisation 3D</t>
  </si>
  <si>
    <t>Modélisation esthétique</t>
  </si>
  <si>
    <t>La conception 3D n'est pas originale Récupération de modèle existant et modifications mineures.</t>
  </si>
  <si>
    <t>Pas de modélisation 3D</t>
  </si>
  <si>
    <t>La conception 3D est pertinente et apporte un vrai intérêt fonctionnel</t>
  </si>
  <si>
    <t>Gestion budgétaire</t>
  </si>
  <si>
    <t>L'ensemble des coûts du projet sont identifiés :
- coût matériel du prototype final
- coût matériel des différentes itérations
- Coût des pièces non exploitées
- Temps de développement</t>
  </si>
  <si>
    <t>Certains coûts ne sont pas présentés</t>
  </si>
  <si>
    <t>Des écarts importants</t>
  </si>
  <si>
    <t>Coeff</t>
  </si>
  <si>
    <t>Structure, clarté, langage technique, gestion du temps.
Support de qualité professionnelle
Présentation Dynamique</t>
  </si>
  <si>
    <t>Programmation informatique</t>
  </si>
  <si>
    <t>Pas de programmation</t>
  </si>
  <si>
    <t>Maitrise et rigueur technique</t>
  </si>
  <si>
    <t>L'étudiant démontre une maitrise de l'ensemble des technologies mises en œuvre</t>
  </si>
  <si>
    <t>L'étudiant démontre une maîtrise partielle</t>
  </si>
  <si>
    <t>L'étudiants ne maîtrise pas les éléments non essentiel à son projet</t>
  </si>
  <si>
    <t>Aucune maîtrise</t>
  </si>
  <si>
    <t>La programmation n'est pas maîtirisée</t>
  </si>
  <si>
    <t>Pas de réflexion sur la fin de vie.
Les commandes de matériel n'ont pas été pertinentes</t>
  </si>
  <si>
    <t>Démarche faible - prototype non réparable</t>
  </si>
  <si>
    <t>Quelques fautes dans le support
Présentation manquant de dynamisme</t>
  </si>
  <si>
    <t>Evaluation</t>
  </si>
  <si>
    <t>Soutenance non préparée</t>
  </si>
  <si>
    <t>Plus de 5 fautes dans le support
Manque de préparation</t>
  </si>
  <si>
    <t>Commentaires</t>
  </si>
  <si>
    <t>Réparabilité</t>
  </si>
  <si>
    <t>Seule la fonctione essentielle du prototype est opérationnelle</t>
  </si>
  <si>
    <t>Management de projet</t>
  </si>
  <si>
    <t>Mise en place d'outils et méthodes de gestion de projet pertinent et efficace</t>
  </si>
  <si>
    <t>Pas d'outils mis en place</t>
  </si>
  <si>
    <t>Aucunes méthodes, le projet n'est pas suivi mais subit</t>
  </si>
  <si>
    <t>Quelques outils mis en place mais pas toujours suivi</t>
  </si>
  <si>
    <t>La programmation est pertinente et apporte un réel intérêt.
La programmation est fonctionnelle
La programmation est réfléchit et optimisée</t>
  </si>
  <si>
    <t>La programmation est fonctionnelle
La programmation reste basique</t>
  </si>
  <si>
    <t>Une réflexion sur la fin de vie du produit est proposée.
Le choix des matériaux est réfléchi
Les commandes de matériel ont été réfléchies
Le projet est démontable / réparable facilement.</t>
  </si>
  <si>
    <t>Grille évaluation Option Prototypage - Rapport</t>
  </si>
  <si>
    <t>Grille évaluation Option Prototypage - Soutenance et Prototype</t>
  </si>
  <si>
    <t>Cahier des charges et analyse fonctionnelle</t>
  </si>
  <si>
    <t>Dossier technique – Étapes de réalisation</t>
  </si>
  <si>
    <t>Tracé des choix techniques</t>
  </si>
  <si>
    <t>Management de projet et outils</t>
  </si>
  <si>
    <t>Cohérence objectifs / résultats</t>
  </si>
  <si>
    <t>Qualité professionnelle du document</t>
  </si>
  <si>
    <t>Analyse réflexive</t>
  </si>
  <si>
    <t>Cahier des charges complet, clair, structuré. Analyse fonctionnelle détaillée et justifiée.</t>
  </si>
  <si>
    <t>Bon niveau de détail, quelques étapes moins documentées.</t>
  </si>
  <si>
    <t>Documentation insuffisante ou non chronologique.</t>
  </si>
  <si>
    <t>Documentation très faible ou inexistante.</t>
  </si>
  <si>
    <t>Justification correcte mais partielle.</t>
  </si>
  <si>
    <t>Justifications superficielles ou techniques peu adaptées.</t>
  </si>
  <si>
    <t>Aucune justification des choix.</t>
  </si>
  <si>
    <t>Usage complet d’outils (Kanban, budget, risques, MVP…). Analyse critique.</t>
  </si>
  <si>
    <t>Outils utilisés mais analyse limitée.</t>
  </si>
  <si>
    <t>Usage minimal ou irrégulier.</t>
  </si>
  <si>
    <t>Absence d’outils de gestion.</t>
  </si>
  <si>
    <t>Alignement parfait + analyse claire des écarts.</t>
  </si>
  <si>
    <t>Bonne cohérence générale.</t>
  </si>
  <si>
    <t>Plusieurs incohérences non justifiées.</t>
  </si>
  <si>
    <t>Manque de cohérence global.</t>
  </si>
  <si>
    <t>Document structuré, soigné, sans fautes. Mise en page pro.</t>
  </si>
  <si>
    <t>Document clair, quelques erreurs mineures.</t>
  </si>
  <si>
    <t>Document brouillon ou peu structuré.</t>
  </si>
  <si>
    <t>Document difficile à lire, fautes majeures.</t>
  </si>
  <si>
    <t>Analyse approfondie des réussites, difficultés, améliorations.</t>
  </si>
  <si>
    <t>Bonne analyse mais moins approfondie.</t>
  </si>
  <si>
    <t>Analyse superficielle, descriptive.</t>
  </si>
  <si>
    <t>Aucune analyse réflexive.</t>
  </si>
  <si>
    <t>CDC clair et cohérent, analyse fonctionnelle correcte mais partielle.</t>
  </si>
  <si>
    <t>CDC incomplet ou peu structuré. Analyse fonctionnelle superficielle.</t>
  </si>
  <si>
    <t>CDC très incomplet ou absent. Analyse fonctionnelle erronée.</t>
  </si>
  <si>
    <t>Étapes complètes et précises (modélisation, fabrication, tests). Visuels professionnels.
Archives complètes</t>
  </si>
  <si>
    <t>Justification détaillée, alternatives étudiées, cohérence avec CDC.</t>
  </si>
  <si>
    <t>Implication et engagement personnel</t>
  </si>
  <si>
    <t>Assiduité et ponctualité</t>
  </si>
  <si>
    <t>Respect des échéances</t>
  </si>
  <si>
    <t>Professionnalisme
(autonomie, rigueur, attitude)</t>
  </si>
  <si>
    <t>Très fort investissement : initiative, motivation constante, travail approfondi.</t>
  </si>
  <si>
    <t>Engagement sérieux et régulier, bonne autonomie.</t>
  </si>
  <si>
    <t>Engagement variable, travail minimal ou irrégulier.</t>
  </si>
  <si>
    <t>Faible engagement, travail insuffisant.</t>
  </si>
  <si>
    <t>Présence irréprochable, aucune absence injustifiée, ponctualité constante.</t>
  </si>
  <si>
    <t>Toutes les échéances respectées ou rendues en avance, travail complet.</t>
  </si>
  <si>
    <t>Majorité des échéances respectées, retards mineurs.</t>
  </si>
  <si>
    <t>Plusieurs livrables en retard ou incomplets.</t>
  </si>
  <si>
    <t>Livrables très en retard ou non rendus.</t>
  </si>
  <si>
    <t>Travail rigoureux, autonomie élevée, attitude professionnelle constante.</t>
  </si>
  <si>
    <t>Travail sérieux et rigoureux, autonomie satisfaisante.</t>
  </si>
  <si>
    <t>Manque de rigueur ou autonomie irrégulière.</t>
  </si>
  <si>
    <t>Attitude non professionnelle, manque de sérieux.</t>
  </si>
  <si>
    <t>Communication proactive et régulière, questions pertinentes.</t>
  </si>
  <si>
    <t>Communication claire et conforme aux attentes.</t>
  </si>
  <si>
    <t>Communication limitée ou tardive.</t>
  </si>
  <si>
    <t>Communication absente, ne rend pas compte du travail.</t>
  </si>
  <si>
    <t>Communication</t>
  </si>
  <si>
    <t>Moyenne</t>
  </si>
  <si>
    <t>Grille évaluation Option Prototypage - Implication</t>
  </si>
  <si>
    <t>UE Option</t>
  </si>
  <si>
    <t>Option : Compétences</t>
  </si>
  <si>
    <t>Option : Réalisation</t>
  </si>
  <si>
    <t>Option : Evaluation par les pairs</t>
  </si>
  <si>
    <t>Note</t>
  </si>
  <si>
    <t>Bonne assiduité, quelques retards ou absences mineures.
(Absences justifiées ou moins de 4 retards)</t>
  </si>
  <si>
    <t>Assiduité irrégulière, retards répétés ou absences non justifiées.
(5 retards)</t>
  </si>
  <si>
    <t>Absences fréquentes, participation insuffisante.
(6 retards)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</si>
</sst>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4" borderId="5" xfId="0" applyFont="1" applyFill="1" applyBorder="1" applyAlignment="1">
      <alignment horizontal="left" vertical="center" wrapText="1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1551-A915-4191-894C-C1BAD17B35B3}">
  <sheetPr>
    <pageSetUpPr fitToPage="1"/>
  </sheetPr>
  <dimension ref="A1:H28"/>
  <sheetViews>
    <sheetView zoomScale="81" workbookViewId="0">
      <selection activeCell="A21" sqref="A21"/>
    </sheetView>
  </sheetViews>
  <sheetFormatPr baseColWidth="10" defaultRowHeight="15" x14ac:dyDescent="0.25"/>
  <cols>
    <col min="1" max="1" width="50.140625" customWidth="1"/>
    <col min="2" max="5" width="50.7109375" customWidth="1"/>
    <col min="6" max="6" width="6.5703125" customWidth="1"/>
  </cols>
  <sheetData>
    <row r="1" spans="1:8" ht="24" x14ac:dyDescent="0.4">
      <c r="A1" s="16" t="s">
        <v>55</v>
      </c>
      <c r="B1" s="16"/>
      <c r="C1" s="16"/>
      <c r="D1" s="16"/>
      <c r="E1" s="16"/>
      <c r="F1" s="16"/>
      <c r="G1" s="16"/>
    </row>
    <row r="2" spans="1:8" x14ac:dyDescent="0.25">
      <c r="A2" t="s">
        <v>7</v>
      </c>
    </row>
    <row r="3" spans="1:8" x14ac:dyDescent="0.25">
      <c r="A3" t="s">
        <v>6</v>
      </c>
    </row>
    <row r="5" spans="1:8" x14ac:dyDescent="0.25">
      <c r="A5" s="17" t="s">
        <v>0</v>
      </c>
      <c r="B5" s="17" t="s">
        <v>2</v>
      </c>
      <c r="C5" s="17" t="s">
        <v>3</v>
      </c>
      <c r="D5" s="17" t="s">
        <v>4</v>
      </c>
      <c r="E5" s="17" t="s">
        <v>5</v>
      </c>
      <c r="F5" s="17" t="s">
        <v>27</v>
      </c>
      <c r="G5" s="17" t="s">
        <v>1</v>
      </c>
    </row>
    <row r="6" spans="1:8" ht="30" x14ac:dyDescent="0.25">
      <c r="A6" s="6" t="s">
        <v>8</v>
      </c>
      <c r="B6" s="5" t="s">
        <v>9</v>
      </c>
      <c r="C6" s="5" t="s">
        <v>45</v>
      </c>
      <c r="D6" s="5" t="s">
        <v>10</v>
      </c>
      <c r="E6" s="5" t="s">
        <v>11</v>
      </c>
      <c r="F6" s="7">
        <v>5</v>
      </c>
      <c r="G6" s="4"/>
      <c r="H6" s="8">
        <f>G6*F6</f>
        <v>0</v>
      </c>
    </row>
    <row r="7" spans="1:8" ht="60" x14ac:dyDescent="0.25">
      <c r="A7" s="6" t="s">
        <v>12</v>
      </c>
      <c r="B7" s="5" t="s">
        <v>13</v>
      </c>
      <c r="C7" s="5" t="s">
        <v>15</v>
      </c>
      <c r="D7" s="5" t="s">
        <v>16</v>
      </c>
      <c r="E7" s="5" t="s">
        <v>14</v>
      </c>
      <c r="F7" s="7">
        <v>5</v>
      </c>
      <c r="G7" s="4"/>
      <c r="H7" s="8">
        <f t="shared" ref="H7:H14" si="0">G7*F7</f>
        <v>0</v>
      </c>
    </row>
    <row r="8" spans="1:8" ht="30" x14ac:dyDescent="0.25">
      <c r="A8" s="6" t="s">
        <v>46</v>
      </c>
      <c r="B8" s="5" t="s">
        <v>47</v>
      </c>
      <c r="C8" s="5" t="s">
        <v>50</v>
      </c>
      <c r="D8" s="5" t="s">
        <v>48</v>
      </c>
      <c r="E8" s="5" t="s">
        <v>49</v>
      </c>
      <c r="F8" s="7">
        <v>4</v>
      </c>
      <c r="G8" s="4"/>
      <c r="H8" s="8">
        <f t="shared" si="0"/>
        <v>0</v>
      </c>
    </row>
    <row r="9" spans="1:8" ht="60" x14ac:dyDescent="0.25">
      <c r="A9" s="6" t="s">
        <v>29</v>
      </c>
      <c r="B9" s="5" t="s">
        <v>51</v>
      </c>
      <c r="C9" s="5" t="s">
        <v>52</v>
      </c>
      <c r="D9" s="5" t="s">
        <v>36</v>
      </c>
      <c r="E9" s="5" t="s">
        <v>30</v>
      </c>
      <c r="F9" s="7">
        <v>2</v>
      </c>
      <c r="G9" s="4"/>
      <c r="H9" s="8">
        <f t="shared" si="0"/>
        <v>0</v>
      </c>
    </row>
    <row r="10" spans="1:8" ht="30" x14ac:dyDescent="0.25">
      <c r="A10" s="6" t="s">
        <v>18</v>
      </c>
      <c r="B10" s="5" t="s">
        <v>22</v>
      </c>
      <c r="C10" s="5" t="s">
        <v>19</v>
      </c>
      <c r="D10" s="5" t="s">
        <v>20</v>
      </c>
      <c r="E10" s="5" t="s">
        <v>21</v>
      </c>
      <c r="F10" s="7">
        <v>2</v>
      </c>
      <c r="G10" s="4"/>
      <c r="H10" s="8">
        <f t="shared" si="0"/>
        <v>0</v>
      </c>
    </row>
    <row r="11" spans="1:8" ht="75" x14ac:dyDescent="0.25">
      <c r="A11" s="6" t="s">
        <v>23</v>
      </c>
      <c r="B11" s="5" t="s">
        <v>24</v>
      </c>
      <c r="C11" s="5" t="s">
        <v>25</v>
      </c>
      <c r="D11" s="5" t="s">
        <v>16</v>
      </c>
      <c r="E11" s="5" t="s">
        <v>26</v>
      </c>
      <c r="F11" s="7">
        <v>2</v>
      </c>
      <c r="G11" s="4"/>
      <c r="H11" s="8">
        <f t="shared" si="0"/>
        <v>0</v>
      </c>
    </row>
    <row r="12" spans="1:8" ht="60" x14ac:dyDescent="0.25">
      <c r="A12" s="6" t="s">
        <v>44</v>
      </c>
      <c r="B12" s="5" t="s">
        <v>53</v>
      </c>
      <c r="C12" s="5" t="s">
        <v>37</v>
      </c>
      <c r="D12" s="5" t="s">
        <v>38</v>
      </c>
      <c r="E12" s="5" t="s">
        <v>14</v>
      </c>
      <c r="F12" s="7">
        <v>2</v>
      </c>
      <c r="G12" s="4"/>
      <c r="H12" s="8">
        <f t="shared" si="0"/>
        <v>0</v>
      </c>
    </row>
    <row r="13" spans="1:8" ht="30" x14ac:dyDescent="0.25">
      <c r="A13" s="6" t="s">
        <v>31</v>
      </c>
      <c r="B13" s="5" t="s">
        <v>32</v>
      </c>
      <c r="C13" s="5" t="s">
        <v>33</v>
      </c>
      <c r="D13" s="5" t="s">
        <v>34</v>
      </c>
      <c r="E13" s="5" t="s">
        <v>35</v>
      </c>
      <c r="F13" s="7">
        <v>2</v>
      </c>
      <c r="G13" s="4"/>
      <c r="H13" s="8">
        <f t="shared" si="0"/>
        <v>0</v>
      </c>
    </row>
    <row r="14" spans="1:8" ht="45.75" thickBot="1" x14ac:dyDescent="0.3">
      <c r="A14" s="10" t="s">
        <v>17</v>
      </c>
      <c r="B14" s="11" t="s">
        <v>28</v>
      </c>
      <c r="C14" s="11" t="s">
        <v>39</v>
      </c>
      <c r="D14" s="11" t="s">
        <v>42</v>
      </c>
      <c r="E14" s="11" t="s">
        <v>41</v>
      </c>
      <c r="F14" s="12">
        <v>2</v>
      </c>
      <c r="G14" s="13"/>
      <c r="H14" s="8">
        <f t="shared" si="0"/>
        <v>0</v>
      </c>
    </row>
    <row r="15" spans="1:8" ht="15.75" thickBot="1" x14ac:dyDescent="0.3">
      <c r="A15" s="20" t="s">
        <v>113</v>
      </c>
      <c r="B15" s="21"/>
      <c r="C15" s="21"/>
      <c r="D15" s="21"/>
      <c r="E15" s="21"/>
      <c r="F15" s="28">
        <f>SUM(F6:F14)</f>
        <v>26</v>
      </c>
      <c r="G15" s="14">
        <f>H15/F15</f>
        <v>0</v>
      </c>
      <c r="H15" s="9">
        <f>SUM(H6:H14)</f>
        <v>0</v>
      </c>
    </row>
    <row r="16" spans="1:8" ht="15.75" thickBot="1" x14ac:dyDescent="0.3">
      <c r="A16" s="22" t="s">
        <v>40</v>
      </c>
      <c r="B16" s="23"/>
      <c r="C16" s="23"/>
      <c r="D16" s="23"/>
      <c r="E16" s="23"/>
      <c r="F16" s="18"/>
      <c r="G16" s="15" t="str">
        <f>IF(G15=0,"",IF(G15&gt;=4.6,"A",IF(G15&gt;=3.6,"B",IF(G15&lt;1.6,"D","C"))))</f>
        <v/>
      </c>
    </row>
    <row r="17" spans="1:7" ht="15.75" thickBot="1" x14ac:dyDescent="0.3">
      <c r="A17" s="1"/>
      <c r="B17" s="2"/>
      <c r="C17" s="2"/>
      <c r="D17" s="2"/>
      <c r="E17" s="2"/>
      <c r="F17" s="2"/>
      <c r="G17" s="1"/>
    </row>
    <row r="18" spans="1:7" ht="84" customHeight="1" thickBot="1" x14ac:dyDescent="0.3">
      <c r="A18" s="19" t="s">
        <v>43</v>
      </c>
      <c r="B18" s="24"/>
      <c r="C18" s="24"/>
      <c r="D18" s="24"/>
      <c r="E18" s="25"/>
      <c r="F18" s="2"/>
      <c r="G18" s="1"/>
    </row>
    <row r="19" spans="1:7" x14ac:dyDescent="0.25">
      <c r="A19" s="1"/>
      <c r="B19" s="2"/>
      <c r="C19" s="2"/>
      <c r="D19" s="2"/>
      <c r="E19" s="2"/>
      <c r="F19" s="2"/>
      <c r="G19" s="1"/>
    </row>
    <row r="20" spans="1:7" x14ac:dyDescent="0.25">
      <c r="A20" s="1"/>
      <c r="B20" s="3"/>
      <c r="C20" s="3"/>
      <c r="D20" s="3"/>
      <c r="E20" s="3"/>
      <c r="F20" s="3"/>
      <c r="G20" s="1"/>
    </row>
    <row r="21" spans="1:7" x14ac:dyDescent="0.25">
      <c r="A21" s="1"/>
      <c r="B21" s="3"/>
      <c r="C21" s="3"/>
      <c r="D21" s="3"/>
      <c r="E21" s="3"/>
      <c r="F21" s="3"/>
      <c r="G21" s="1"/>
    </row>
    <row r="22" spans="1:7" x14ac:dyDescent="0.25">
      <c r="A22" s="1"/>
      <c r="B22" s="3"/>
      <c r="C22" s="3"/>
      <c r="D22" s="3"/>
      <c r="E22" s="3"/>
      <c r="F22" s="3"/>
      <c r="G22" s="1"/>
    </row>
    <row r="23" spans="1:7" x14ac:dyDescent="0.25">
      <c r="A23" s="1"/>
      <c r="B23" s="3"/>
      <c r="C23" s="3"/>
      <c r="D23" s="3"/>
      <c r="E23" s="3"/>
      <c r="F23" s="3"/>
      <c r="G23" s="1"/>
    </row>
    <row r="24" spans="1:7" x14ac:dyDescent="0.25">
      <c r="A24" s="1"/>
      <c r="B24" s="3"/>
      <c r="C24" s="3"/>
      <c r="D24" s="3"/>
      <c r="E24" s="3"/>
      <c r="F24" s="3"/>
      <c r="G24" s="1"/>
    </row>
    <row r="25" spans="1:7" x14ac:dyDescent="0.25">
      <c r="A25" s="1"/>
      <c r="B25" s="3"/>
      <c r="C25" s="3"/>
      <c r="D25" s="3"/>
      <c r="E25" s="3"/>
      <c r="F25" s="3"/>
      <c r="G25" s="1"/>
    </row>
    <row r="26" spans="1:7" x14ac:dyDescent="0.25">
      <c r="A26" s="1"/>
      <c r="B26" s="3"/>
      <c r="C26" s="3"/>
      <c r="D26" s="3"/>
      <c r="E26" s="3"/>
      <c r="F26" s="3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</sheetData>
  <mergeCells count="3">
    <mergeCell ref="A15:E15"/>
    <mergeCell ref="A16:E16"/>
    <mergeCell ref="B18:E18"/>
  </mergeCells>
  <conditionalFormatting sqref="G16">
    <cfRule type="cellIs" dxfId="23" priority="1" operator="equal">
      <formula>"d"</formula>
    </cfRule>
    <cfRule type="cellIs" dxfId="22" priority="2" operator="equal">
      <formula>"c"</formula>
    </cfRule>
    <cfRule type="cellIs" dxfId="21" priority="3" operator="equal">
      <formula>"b"</formula>
    </cfRule>
    <cfRule type="cellIs" dxfId="20" priority="4" operator="equal">
      <formula>"a"</formula>
    </cfRule>
  </conditionalFormatting>
  <pageMargins left="0.7" right="0.7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6DF6-ABD9-43BA-BAA0-329F56B2FC53}">
  <dimension ref="A1:H16"/>
  <sheetViews>
    <sheetView workbookViewId="0">
      <selection activeCell="A20" sqref="A20"/>
    </sheetView>
  </sheetViews>
  <sheetFormatPr baseColWidth="10" defaultRowHeight="15" x14ac:dyDescent="0.25"/>
  <cols>
    <col min="1" max="1" width="42.7109375" customWidth="1"/>
    <col min="2" max="5" width="46.85546875" customWidth="1"/>
    <col min="6" max="7" width="6.140625" bestFit="1" customWidth="1"/>
    <col min="8" max="8" width="11.42578125" style="32"/>
  </cols>
  <sheetData>
    <row r="1" spans="1:8" ht="24" x14ac:dyDescent="0.4">
      <c r="A1" s="16" t="s">
        <v>54</v>
      </c>
      <c r="B1" s="16"/>
      <c r="C1" s="16"/>
      <c r="D1" s="16"/>
      <c r="E1" s="16"/>
      <c r="F1" s="16"/>
      <c r="G1" s="16"/>
    </row>
    <row r="2" spans="1:8" x14ac:dyDescent="0.25">
      <c r="A2" t="s">
        <v>7</v>
      </c>
      <c r="B2">
        <f>'Soutenance et Prototype'!B2</f>
        <v>0</v>
      </c>
    </row>
    <row r="3" spans="1:8" x14ac:dyDescent="0.25">
      <c r="A3" t="s">
        <v>6</v>
      </c>
    </row>
    <row r="5" spans="1:8" x14ac:dyDescent="0.25">
      <c r="A5" s="17" t="s">
        <v>0</v>
      </c>
      <c r="B5" s="17" t="s">
        <v>2</v>
      </c>
      <c r="C5" s="17" t="s">
        <v>3</v>
      </c>
      <c r="D5" s="17" t="s">
        <v>4</v>
      </c>
      <c r="E5" s="17" t="s">
        <v>5</v>
      </c>
      <c r="F5" s="17" t="s">
        <v>27</v>
      </c>
      <c r="G5" s="17" t="s">
        <v>1</v>
      </c>
    </row>
    <row r="6" spans="1:8" ht="30" x14ac:dyDescent="0.25">
      <c r="A6" s="6" t="s">
        <v>56</v>
      </c>
      <c r="B6" s="5" t="s">
        <v>63</v>
      </c>
      <c r="C6" s="5" t="s">
        <v>86</v>
      </c>
      <c r="D6" s="5" t="s">
        <v>87</v>
      </c>
      <c r="E6" s="5" t="s">
        <v>88</v>
      </c>
      <c r="F6" s="7">
        <v>4</v>
      </c>
      <c r="G6" s="4"/>
      <c r="H6" s="8">
        <f>G6*F6</f>
        <v>0</v>
      </c>
    </row>
    <row r="7" spans="1:8" ht="45" x14ac:dyDescent="0.25">
      <c r="A7" s="6" t="s">
        <v>57</v>
      </c>
      <c r="B7" s="5" t="s">
        <v>89</v>
      </c>
      <c r="C7" s="5" t="s">
        <v>64</v>
      </c>
      <c r="D7" s="5" t="s">
        <v>65</v>
      </c>
      <c r="E7" s="5" t="s">
        <v>66</v>
      </c>
      <c r="F7" s="7">
        <v>4</v>
      </c>
      <c r="G7" s="4"/>
      <c r="H7" s="8">
        <f t="shared" ref="H7:H12" si="0">G7*F7</f>
        <v>0</v>
      </c>
    </row>
    <row r="8" spans="1:8" ht="30" x14ac:dyDescent="0.25">
      <c r="A8" s="6" t="s">
        <v>58</v>
      </c>
      <c r="B8" s="5" t="s">
        <v>90</v>
      </c>
      <c r="C8" s="5" t="s">
        <v>67</v>
      </c>
      <c r="D8" s="5" t="s">
        <v>68</v>
      </c>
      <c r="E8" s="5" t="s">
        <v>69</v>
      </c>
      <c r="F8" s="7">
        <v>2</v>
      </c>
      <c r="G8" s="4"/>
      <c r="H8" s="8">
        <f t="shared" si="0"/>
        <v>0</v>
      </c>
    </row>
    <row r="9" spans="1:8" ht="30" x14ac:dyDescent="0.25">
      <c r="A9" s="6" t="s">
        <v>59</v>
      </c>
      <c r="B9" s="5" t="s">
        <v>70</v>
      </c>
      <c r="C9" s="5" t="s">
        <v>71</v>
      </c>
      <c r="D9" s="5" t="s">
        <v>72</v>
      </c>
      <c r="E9" s="5" t="s">
        <v>73</v>
      </c>
      <c r="F9" s="7">
        <v>4</v>
      </c>
      <c r="G9" s="4"/>
      <c r="H9" s="8">
        <f t="shared" si="0"/>
        <v>0</v>
      </c>
    </row>
    <row r="10" spans="1:8" x14ac:dyDescent="0.25">
      <c r="A10" s="6" t="s">
        <v>60</v>
      </c>
      <c r="B10" s="5" t="s">
        <v>74</v>
      </c>
      <c r="C10" s="5" t="s">
        <v>75</v>
      </c>
      <c r="D10" s="5" t="s">
        <v>76</v>
      </c>
      <c r="E10" s="5" t="s">
        <v>77</v>
      </c>
      <c r="F10" s="7">
        <v>2</v>
      </c>
      <c r="G10" s="4"/>
      <c r="H10" s="8">
        <f t="shared" si="0"/>
        <v>0</v>
      </c>
    </row>
    <row r="11" spans="1:8" ht="30" x14ac:dyDescent="0.25">
      <c r="A11" s="6" t="s">
        <v>61</v>
      </c>
      <c r="B11" s="5" t="s">
        <v>78</v>
      </c>
      <c r="C11" s="5" t="s">
        <v>79</v>
      </c>
      <c r="D11" s="5" t="s">
        <v>80</v>
      </c>
      <c r="E11" s="5" t="s">
        <v>81</v>
      </c>
      <c r="F11" s="7">
        <v>2</v>
      </c>
      <c r="G11" s="4"/>
      <c r="H11" s="8">
        <f t="shared" si="0"/>
        <v>0</v>
      </c>
    </row>
    <row r="12" spans="1:8" ht="30.75" thickBot="1" x14ac:dyDescent="0.3">
      <c r="A12" s="6" t="s">
        <v>62</v>
      </c>
      <c r="B12" s="5" t="s">
        <v>82</v>
      </c>
      <c r="C12" s="5" t="s">
        <v>83</v>
      </c>
      <c r="D12" s="5" t="s">
        <v>84</v>
      </c>
      <c r="E12" s="5" t="s">
        <v>85</v>
      </c>
      <c r="F12" s="7">
        <v>2</v>
      </c>
      <c r="G12" s="4"/>
      <c r="H12" s="8">
        <f t="shared" si="0"/>
        <v>0</v>
      </c>
    </row>
    <row r="13" spans="1:8" ht="15.75" thickBot="1" x14ac:dyDescent="0.3">
      <c r="A13" s="20" t="s">
        <v>113</v>
      </c>
      <c r="B13" s="21"/>
      <c r="C13" s="21"/>
      <c r="D13" s="21"/>
      <c r="E13" s="21"/>
      <c r="F13" s="28">
        <f>SUM(F6:F12)</f>
        <v>20</v>
      </c>
      <c r="G13" s="14">
        <f>H13/F13</f>
        <v>0</v>
      </c>
      <c r="H13" s="33">
        <f>SUM(H6:H12)</f>
        <v>0</v>
      </c>
    </row>
    <row r="14" spans="1:8" ht="15.75" thickBot="1" x14ac:dyDescent="0.3">
      <c r="A14" s="22" t="s">
        <v>40</v>
      </c>
      <c r="B14" s="23"/>
      <c r="C14" s="23"/>
      <c r="D14" s="23"/>
      <c r="E14" s="23"/>
      <c r="F14" s="18"/>
      <c r="G14" s="15" t="str">
        <f>IF(G13=0,"",IF(G13&gt;=4.6,"A",IF(G13&gt;=3.6,"B",IF(G13&lt;1.6,"D","C"))))</f>
        <v/>
      </c>
      <c r="H14"/>
    </row>
    <row r="15" spans="1:8" ht="15.75" thickBot="1" x14ac:dyDescent="0.3">
      <c r="A15" s="1"/>
      <c r="B15" s="2"/>
      <c r="C15" s="2"/>
      <c r="D15" s="2"/>
      <c r="E15" s="2"/>
      <c r="F15" s="2"/>
      <c r="G15" s="1"/>
    </row>
    <row r="16" spans="1:8" ht="77.25" customHeight="1" thickBot="1" x14ac:dyDescent="0.3">
      <c r="A16" s="19" t="s">
        <v>43</v>
      </c>
      <c r="B16" s="24"/>
      <c r="C16" s="24"/>
      <c r="D16" s="24"/>
      <c r="E16" s="25"/>
      <c r="F16" s="2"/>
      <c r="G16" s="1"/>
    </row>
  </sheetData>
  <mergeCells count="3">
    <mergeCell ref="A13:E13"/>
    <mergeCell ref="A14:E14"/>
    <mergeCell ref="B16:E16"/>
  </mergeCells>
  <conditionalFormatting sqref="G14">
    <cfRule type="cellIs" dxfId="15" priority="1" operator="equal">
      <formula>"d"</formula>
    </cfRule>
    <cfRule type="cellIs" dxfId="14" priority="2" operator="equal">
      <formula>"c"</formula>
    </cfRule>
    <cfRule type="cellIs" dxfId="13" priority="3" operator="equal">
      <formula>"b"</formula>
    </cfRule>
    <cfRule type="cellIs" dxfId="12" priority="4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945D-4289-4F15-969F-D9CC416FF62B}">
  <dimension ref="A1:H14"/>
  <sheetViews>
    <sheetView tabSelected="1" workbookViewId="0">
      <selection activeCell="H14" sqref="H14"/>
    </sheetView>
  </sheetViews>
  <sheetFormatPr baseColWidth="10" defaultRowHeight="15" x14ac:dyDescent="0.25"/>
  <cols>
    <col min="1" max="1" width="40.42578125" customWidth="1"/>
    <col min="2" max="5" width="42.85546875" customWidth="1"/>
    <col min="6" max="6" width="6.140625" bestFit="1" customWidth="1"/>
    <col min="8" max="8" width="11.42578125" style="8"/>
  </cols>
  <sheetData>
    <row r="1" spans="1:8" ht="24" x14ac:dyDescent="0.4">
      <c r="A1" s="16" t="s">
        <v>114</v>
      </c>
      <c r="B1" s="16"/>
      <c r="C1" s="16"/>
      <c r="D1" s="16"/>
      <c r="E1" s="16"/>
      <c r="F1" s="16"/>
      <c r="G1" s="16"/>
    </row>
    <row r="2" spans="1:8" x14ac:dyDescent="0.25">
      <c r="A2" s="27" t="s">
        <v>7</v>
      </c>
      <c r="B2" s="27">
        <f>'Soutenance et Prototype'!B2</f>
        <v>0</v>
      </c>
      <c r="C2" s="27"/>
      <c r="D2" s="27"/>
      <c r="E2" s="27"/>
      <c r="F2" s="27"/>
      <c r="G2" s="27"/>
    </row>
    <row r="3" spans="1:8" x14ac:dyDescent="0.25">
      <c r="A3" s="27" t="s">
        <v>6</v>
      </c>
      <c r="B3" s="27"/>
      <c r="C3" s="27"/>
      <c r="D3" s="27"/>
      <c r="E3" s="27"/>
      <c r="F3" s="27"/>
      <c r="G3" s="27"/>
    </row>
    <row r="4" spans="1:8" x14ac:dyDescent="0.25">
      <c r="A4" s="27"/>
      <c r="B4" s="27"/>
      <c r="C4" s="27"/>
      <c r="D4" s="27"/>
      <c r="E4" s="27"/>
      <c r="F4" s="27"/>
      <c r="G4" s="27"/>
    </row>
    <row r="5" spans="1:8" x14ac:dyDescent="0.25">
      <c r="A5" s="17" t="s">
        <v>0</v>
      </c>
      <c r="B5" s="17" t="s">
        <v>2</v>
      </c>
      <c r="C5" s="17" t="s">
        <v>3</v>
      </c>
      <c r="D5" s="17" t="s">
        <v>4</v>
      </c>
      <c r="E5" s="17" t="s">
        <v>5</v>
      </c>
      <c r="F5" s="17" t="s">
        <v>27</v>
      </c>
      <c r="G5" s="17" t="s">
        <v>1</v>
      </c>
    </row>
    <row r="6" spans="1:8" ht="30" x14ac:dyDescent="0.25">
      <c r="A6" s="6" t="s">
        <v>91</v>
      </c>
      <c r="B6" s="5" t="s">
        <v>95</v>
      </c>
      <c r="C6" s="5" t="s">
        <v>96</v>
      </c>
      <c r="D6" s="5" t="s">
        <v>97</v>
      </c>
      <c r="E6" s="5" t="s">
        <v>98</v>
      </c>
      <c r="F6" s="7">
        <v>2</v>
      </c>
      <c r="G6" s="4"/>
      <c r="H6" s="8">
        <f>G6*F6</f>
        <v>0</v>
      </c>
    </row>
    <row r="7" spans="1:8" ht="45" x14ac:dyDescent="0.25">
      <c r="A7" s="6" t="s">
        <v>92</v>
      </c>
      <c r="B7" s="5" t="s">
        <v>99</v>
      </c>
      <c r="C7" s="5" t="s">
        <v>120</v>
      </c>
      <c r="D7" s="5" t="s">
        <v>121</v>
      </c>
      <c r="E7" s="5" t="s">
        <v>122</v>
      </c>
      <c r="F7" s="7">
        <v>2</v>
      </c>
      <c r="G7" s="4"/>
      <c r="H7" s="8">
        <f t="shared" ref="H7:H10" si="0">G7*F7</f>
        <v>0</v>
      </c>
    </row>
    <row r="8" spans="1:8" ht="30" x14ac:dyDescent="0.25">
      <c r="A8" s="6" t="s">
        <v>93</v>
      </c>
      <c r="B8" s="5" t="s">
        <v>100</v>
      </c>
      <c r="C8" s="5" t="s">
        <v>101</v>
      </c>
      <c r="D8" s="5" t="s">
        <v>102</v>
      </c>
      <c r="E8" s="5" t="s">
        <v>103</v>
      </c>
      <c r="F8" s="7">
        <v>2</v>
      </c>
      <c r="G8" s="4"/>
      <c r="H8" s="8">
        <f t="shared" si="0"/>
        <v>0</v>
      </c>
    </row>
    <row r="9" spans="1:8" ht="30" x14ac:dyDescent="0.25">
      <c r="A9" s="26" t="s">
        <v>94</v>
      </c>
      <c r="B9" s="5" t="s">
        <v>104</v>
      </c>
      <c r="C9" s="5" t="s">
        <v>105</v>
      </c>
      <c r="D9" s="5" t="s">
        <v>106</v>
      </c>
      <c r="E9" s="5" t="s">
        <v>107</v>
      </c>
      <c r="F9" s="7">
        <v>2</v>
      </c>
      <c r="G9" s="4"/>
      <c r="H9" s="8">
        <f t="shared" si="0"/>
        <v>0</v>
      </c>
    </row>
    <row r="10" spans="1:8" ht="30.75" thickBot="1" x14ac:dyDescent="0.3">
      <c r="A10" s="6" t="s">
        <v>112</v>
      </c>
      <c r="B10" s="5" t="s">
        <v>108</v>
      </c>
      <c r="C10" s="5" t="s">
        <v>109</v>
      </c>
      <c r="D10" s="5" t="s">
        <v>110</v>
      </c>
      <c r="E10" s="5" t="s">
        <v>111</v>
      </c>
      <c r="F10" s="7">
        <v>2</v>
      </c>
      <c r="G10" s="4"/>
      <c r="H10" s="8">
        <f t="shared" si="0"/>
        <v>0</v>
      </c>
    </row>
    <row r="11" spans="1:8" ht="15.75" thickBot="1" x14ac:dyDescent="0.3">
      <c r="A11" s="20" t="s">
        <v>113</v>
      </c>
      <c r="B11" s="21"/>
      <c r="C11" s="21"/>
      <c r="D11" s="21"/>
      <c r="E11" s="21"/>
      <c r="F11" s="28">
        <f>SUM(F6:F10)</f>
        <v>10</v>
      </c>
      <c r="G11" s="14">
        <f>H11/F11</f>
        <v>0</v>
      </c>
      <c r="H11" s="8">
        <f>SUM(H6:H10)</f>
        <v>0</v>
      </c>
    </row>
    <row r="12" spans="1:8" ht="15.75" thickBot="1" x14ac:dyDescent="0.3">
      <c r="A12" s="22" t="s">
        <v>40</v>
      </c>
      <c r="B12" s="23"/>
      <c r="C12" s="23"/>
      <c r="D12" s="23"/>
      <c r="E12" s="23"/>
      <c r="F12" s="18"/>
      <c r="G12" s="15" t="str">
        <f>IF(G11=0,"",IF(G11&gt;=4.6,"A",IF(G11&gt;=3.6,"B",IF(G11&lt;1.6,"D","C"))))</f>
        <v/>
      </c>
    </row>
    <row r="13" spans="1:8" ht="15.75" thickBot="1" x14ac:dyDescent="0.3">
      <c r="A13" s="1"/>
      <c r="B13" s="2"/>
      <c r="C13" s="2"/>
      <c r="D13" s="2"/>
      <c r="E13" s="2"/>
      <c r="F13" s="2"/>
      <c r="G13" s="1"/>
    </row>
    <row r="14" spans="1:8" ht="69.75" customHeight="1" thickBot="1" x14ac:dyDescent="0.3">
      <c r="A14" s="19" t="s">
        <v>43</v>
      </c>
      <c r="B14" s="24"/>
      <c r="C14" s="24"/>
      <c r="D14" s="24"/>
      <c r="E14" s="25"/>
      <c r="F14" s="2"/>
      <c r="G14" s="1"/>
    </row>
  </sheetData>
  <mergeCells count="3">
    <mergeCell ref="A11:E11"/>
    <mergeCell ref="A12:E12"/>
    <mergeCell ref="B14:E14"/>
  </mergeCells>
  <conditionalFormatting sqref="G12">
    <cfRule type="cellIs" dxfId="7" priority="1" operator="equal">
      <formula>"d"</formula>
    </cfRule>
    <cfRule type="cellIs" dxfId="6" priority="2" operator="equal">
      <formula>"c"</formula>
    </cfRule>
    <cfRule type="cellIs" dxfId="5" priority="3" operator="equal">
      <formula>"b"</formula>
    </cfRule>
    <cfRule type="cellIs" dxfId="4" priority="4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C99-B151-43B2-AF06-E10FCDB3B6CC}">
  <dimension ref="A1:B8"/>
  <sheetViews>
    <sheetView workbookViewId="0">
      <selection activeCell="D16" sqref="D16"/>
    </sheetView>
  </sheetViews>
  <sheetFormatPr baseColWidth="10" defaultRowHeight="15" x14ac:dyDescent="0.25"/>
  <cols>
    <col min="1" max="1" width="36" customWidth="1"/>
    <col min="2" max="2" width="41" customWidth="1"/>
  </cols>
  <sheetData>
    <row r="1" spans="1:2" ht="24" x14ac:dyDescent="0.4">
      <c r="A1" s="16" t="s">
        <v>114</v>
      </c>
      <c r="B1" s="16"/>
    </row>
    <row r="2" spans="1:2" x14ac:dyDescent="0.25">
      <c r="A2" s="29" t="s">
        <v>7</v>
      </c>
      <c r="B2" s="29">
        <f>'Soutenance et Prototype'!B2</f>
        <v>0</v>
      </c>
    </row>
    <row r="3" spans="1:2" x14ac:dyDescent="0.25">
      <c r="A3" s="29" t="s">
        <v>6</v>
      </c>
      <c r="B3" s="29"/>
    </row>
    <row r="5" spans="1:2" ht="24" x14ac:dyDescent="0.25">
      <c r="A5" s="30" t="s">
        <v>115</v>
      </c>
      <c r="B5" s="30" t="s">
        <v>119</v>
      </c>
    </row>
    <row r="6" spans="1:2" x14ac:dyDescent="0.25">
      <c r="A6" s="6" t="s">
        <v>116</v>
      </c>
      <c r="B6" s="31" t="str">
        <f>Rapport!G14</f>
        <v/>
      </c>
    </row>
    <row r="7" spans="1:2" x14ac:dyDescent="0.25">
      <c r="A7" s="6" t="s">
        <v>117</v>
      </c>
      <c r="B7" s="31" t="str">
        <f>'Soutenance et Prototype'!G16</f>
        <v/>
      </c>
    </row>
    <row r="8" spans="1:2" x14ac:dyDescent="0.25">
      <c r="A8" s="6" t="s">
        <v>118</v>
      </c>
      <c r="B8" s="31" t="str">
        <f>Implication!G12</f>
        <v/>
      </c>
    </row>
  </sheetData>
  <conditionalFormatting sqref="B6:B8">
    <cfRule type="cellIs" dxfId="3" priority="1" operator="equal">
      <formula>"d"</formula>
    </cfRule>
    <cfRule type="cellIs" dxfId="2" priority="2" operator="equal">
      <formula>"c"</formula>
    </cfRule>
    <cfRule type="cellIs" dxfId="1" priority="3" operator="equal">
      <formula>"b"</formula>
    </cfRule>
    <cfRule type="cellIs" dxfId="0" priority="4" operator="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Soutenance et Prototype</vt:lpstr>
      <vt:lpstr>Rapport</vt:lpstr>
      <vt:lpstr>Implication</vt:lpstr>
      <vt:lpstr>Synthèse Scholaris</vt:lpstr>
    </vt:vector>
  </TitlesOfParts>
  <Company>CESI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NIGET Jocelyn</dc:creator>
  <cp:lastModifiedBy>NIGET Jocelyn</cp:lastModifiedBy>
  <cp:lastPrinted>2025-04-24T15:52:11Z</cp:lastPrinted>
  <dcterms:created xsi:type="dcterms:W3CDTF">2025-04-24T15:00:24Z</dcterms:created>
  <dcterms:modified xsi:type="dcterms:W3CDTF">2025-12-10T09:55:24Z</dcterms:modified>
</cp:coreProperties>
</file>